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Parametri" sheetId="2" state="visible" r:id="rId4"/>
    <sheet name="Clienti" sheetId="3" state="visible" r:id="rId5"/>
  </sheets>
  <definedNames>
    <definedName function="false" hidden="false" name="ComuniList" vbProcedure="false">Parametri!$A$12:$A$19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<sst xmlns="http://schemas.openxmlformats.org/spreadsheetml/2006/main" count="118" uniqueCount="94">
  <si>
    <t xml:space="preserve">SIMULATORE TOU — IMPOSTA ALLA FONTE vs TASSAZIONE ORDINARIA ULTERIORE (TICINO)</t>
  </si>
  <si>
    <t xml:space="preserve">COME SI USA</t>
  </si>
  <si>
    <t xml:space="preserve">1. Nel foglio 'Clienti' compila SOLO le celle gialle (una riga per cliente): profilo, stato civile, comune, salario lordo, salario netto (certificato di salario, cifra 11), imposta alla fonte trattenuta nell'anno e deduzioni effettive.</t>
  </si>
  <si>
    <t xml:space="preserve">2. Il foglio stima l'imposta ordinaria (cantone + comune + IFD) e la confronta con la trattenuta alla fonte: colonna 'Differenza' &gt; 0 = con la TOU si risparmia; il 'Verdetto' applica il margine di neutralità del foglio Parametri.</t>
  </si>
  <si>
    <t xml:space="preserve">3. Per una decisione reale: calcola l'aliquota media esatta con il calcolatore ufficiale (www4.ti.ch &gt; DFE &gt; Divisione delle contribuzioni &gt; Calcolo dell'imposta, oppure swisstaxcalculator.estv.admin.ch) e inseriscila nella colonna 'Override aliquota media TI': se compilata, sostituisce la stima.</t>
  </si>
  <si>
    <t xml:space="preserve">4. Nel foglio 'Parametri' controlla moltiplicatore comunale, deduzioni di riferimento e tariffe: sono tutte celle modificabili.</t>
  </si>
  <si>
    <t xml:space="preserve">LEGENDA COLORI</t>
  </si>
  <si>
    <t xml:space="preserve">Sfondo GIALLO = cella da compilare · testo BLU = valore inserito a mano · testo NERO = formula (non toccare).</t>
  </si>
  <si>
    <t xml:space="preserve">REGOLE TOU IN SINTESI (TICINO)</t>
  </si>
  <si>
    <t xml:space="preserve">» Residenti in Ticino tassati alla fonte: TOU OBBLIGATORIA se il reddito lordo da attività dipendente supera CHF 120'000 annui; sotto la soglia è richiedibile su base volontaria.</t>
  </si>
  <si>
    <t xml:space="preserve">» Non residenti (quasi-residenti): TOU richiedibile se almeno il 90% dei proventi mondiali (coniuge incluso) è imponibile in Svizzera.</t>
  </si>
  <si>
    <t xml:space="preserve">» Termine: richiesta entro il 31 MARZO dell'anno successivo all'anno fiscale. Attenzione: una volta in ordinaria si resta in ordinaria anche per gli anni successivi (scelta di fatto irrevocabile) — valutare la convenienza pluriennale.</t>
  </si>
  <si>
    <t xml:space="preserve">» Frontalieri 'nuovi' (accordo CH-IT del 23.12.2020): NON possono più richiedere la tassazione ordinaria.</t>
  </si>
  <si>
    <t xml:space="preserve">Fonti: estv.admin.ch (Imposta alla fonte), www4.ti.ch/dfe/dc (Richiesta di correzione dell'imposizione alla fonte, Direttiva UIF 01.01.2025), pm-group.ch (prassi ticinese). Consultate il 29.08.2026.</t>
  </si>
  <si>
    <t xml:space="preserve">AVVERTENZA</t>
  </si>
  <si>
    <t xml:space="preserve">Stima indicativa a scopo di consulenza interna: le tariffe nel foglio Parametri (IFD ed. 2025; scala TI APPROSSIMATIVA) vanno verificate prima di comunicare importi al cliente. Non sostituisce il conteggio ufficiale.</t>
  </si>
  <si>
    <t xml:space="preserve">PARAMETRI — TICINO</t>
  </si>
  <si>
    <t xml:space="preserve">GENERALI</t>
  </si>
  <si>
    <t xml:space="preserve">Anno fiscale</t>
  </si>
  <si>
    <t xml:space="preserve">Moltiplicatore cantonale (%)</t>
  </si>
  <si>
    <t xml:space="preserve">Aliquota cantonale base x 100%</t>
  </si>
  <si>
    <t xml:space="preserve">Margine di neutralità verdetto (CHF)</t>
  </si>
  <si>
    <t xml:space="preserve">Sotto questa differenza il verdetto è 'circa neutra'</t>
  </si>
  <si>
    <t xml:space="preserve">Soglia TOU obbligatoria residenti (lordo CHF)</t>
  </si>
  <si>
    <t xml:space="preserve">Fonte: direttiva UIF TI 01.01.2025</t>
  </si>
  <si>
    <t xml:space="preserve">Termine richiesta TOU</t>
  </si>
  <si>
    <t xml:space="preserve">31 marzo anno successivo</t>
  </si>
  <si>
    <t xml:space="preserve">MOLTIPLICATORI COMUNALI — PERSONE FISICHE (%)</t>
  </si>
  <si>
    <t xml:space="preserve">Comune</t>
  </si>
  <si>
    <t xml:space="preserve">Molt. PF %</t>
  </si>
  <si>
    <t xml:space="preserve">Nota</t>
  </si>
  <si>
    <t xml:space="preserve">Lugano</t>
  </si>
  <si>
    <t xml:space="preserve">2026 approvato (2025: 77) — fonte RSI/CdT</t>
  </si>
  <si>
    <t xml:space="preserve">Bellinzona</t>
  </si>
  <si>
    <t xml:space="preserve">DA VERIFICARE</t>
  </si>
  <si>
    <t xml:space="preserve">Locarno</t>
  </si>
  <si>
    <t xml:space="preserve">Mendrisio</t>
  </si>
  <si>
    <t xml:space="preserve">Chiasso</t>
  </si>
  <si>
    <t xml:space="preserve">Paradiso</t>
  </si>
  <si>
    <t xml:space="preserve">Massagno</t>
  </si>
  <si>
    <t xml:space="preserve">Altro</t>
  </si>
  <si>
    <t xml:space="preserve">media indicativa — sostituire</t>
  </si>
  <si>
    <t xml:space="preserve">DEDUZIONI DI RIFERIMENTO (memo — verificare importi anno fiscale)</t>
  </si>
  <si>
    <t xml:space="preserve">Pilastro 3a max (dipendente con cassa pensione)</t>
  </si>
  <si>
    <t xml:space="preserve">2026 confermato — fonte: UBS/Raiffeisen/AXA, cons. 29.08.2026</t>
  </si>
  <si>
    <t xml:space="preserve">Deduzione per figlio — CANTONE (CHF)</t>
  </si>
  <si>
    <t xml:space="preserve">DA VERIFICARE (art. 34 LT)</t>
  </si>
  <si>
    <t xml:space="preserve">Deduzione per figlio — IFD (CHF)</t>
  </si>
  <si>
    <t xml:space="preserve">DA VERIFICARE (art. 35 LIFD)</t>
  </si>
  <si>
    <t xml:space="preserve">Spese formazione max IFD (CHF)</t>
  </si>
  <si>
    <t xml:space="preserve">memo — DA VERIFICARE</t>
  </si>
  <si>
    <t xml:space="preserve">Spese professionali forfait TI (CHF)</t>
  </si>
  <si>
    <t xml:space="preserve">TARIFFA IFD — PERSONA SOLA (edizione 2025 — VERIFICARE per il 2026)</t>
  </si>
  <si>
    <t xml:space="preserve">Da (CHF)</t>
  </si>
  <si>
    <t xml:space="preserve">Aliquota marginale</t>
  </si>
  <si>
    <t xml:space="preserve">Imposta base a soglia (CHF)</t>
  </si>
  <si>
    <t xml:space="preserve">Soglia aliquota unica (CHF)</t>
  </si>
  <si>
    <t xml:space="preserve">Aliquota unica sopra soglia</t>
  </si>
  <si>
    <t xml:space="preserve">TARIFFA IFD — CONIUGATI (edizione 2025 — VERIFICARE per il 2026)</t>
  </si>
  <si>
    <t xml:space="preserve">SCALA CANTONALE TI — PERSONA SOLA</t>
  </si>
  <si>
    <t xml:space="preserve">APPROSSIMATIVA: sostituire con la scala ufficiale (art. 35 / 309g LT) o usare l'override in 'Clienti'</t>
  </si>
  <si>
    <t xml:space="preserve">SCALA CANTONALE TI — CONIUGATI</t>
  </si>
  <si>
    <t xml:space="preserve">CONFRONTO FONTE vs TOU — compilare solo le celle gialle (colonne A–M e S)</t>
  </si>
  <si>
    <t xml:space="preserve">Cliente</t>
  </si>
  <si>
    <t xml:space="preserve">Profilo</t>
  </si>
  <si>
    <t xml:space="preserve">Stato civile</t>
  </si>
  <si>
    <t xml:space="preserve">Figli a carico</t>
  </si>
  <si>
    <t xml:space="preserve">Salario lordo annuo</t>
  </si>
  <si>
    <t xml:space="preserve">Salario netto (cert. cifra 11)</t>
  </si>
  <si>
    <t xml:space="preserve">Imposta fonte trattenuta (anno)</t>
  </si>
  <si>
    <t xml:space="preserve">Pilastro 3a</t>
  </si>
  <si>
    <t xml:space="preserve">Spese professionali</t>
  </si>
  <si>
    <t xml:space="preserve">Premi assicurativi</t>
  </si>
  <si>
    <t xml:space="preserve">Formazione</t>
  </si>
  <si>
    <t xml:space="preserve">Altre deduzioni</t>
  </si>
  <si>
    <t xml:space="preserve">Ded. figli cantone</t>
  </si>
  <si>
    <t xml:space="preserve">Ded. figli IFD</t>
  </si>
  <si>
    <t xml:space="preserve">Imponibile cantonale</t>
  </si>
  <si>
    <t xml:space="preserve">Imponibile IFD</t>
  </si>
  <si>
    <t xml:space="preserve">Aliquota media TI stimata</t>
  </si>
  <si>
    <t xml:space="preserve">Override aliquota media TI</t>
  </si>
  <si>
    <t xml:space="preserve">Imposta cantonale base</t>
  </si>
  <si>
    <t xml:space="preserve">Cantone + comune</t>
  </si>
  <si>
    <t xml:space="preserve">IFD</t>
  </si>
  <si>
    <t xml:space="preserve">Totale ordinaria stimata</t>
  </si>
  <si>
    <t xml:space="preserve">Aliquota fonte effettiva</t>
  </si>
  <si>
    <t xml:space="preserve">Differenza (fonte − ordinaria)</t>
  </si>
  <si>
    <t xml:space="preserve">TOU obbligatoria?</t>
  </si>
  <si>
    <t xml:space="preserve">Verdetto</t>
  </si>
  <si>
    <t xml:space="preserve">Note</t>
  </si>
  <si>
    <t xml:space="preserve">Irina (ESEMPIO — sostituire)</t>
  </si>
  <si>
    <t xml:space="preserve">Residente TI</t>
  </si>
  <si>
    <t xml:space="preserve">Sola</t>
  </si>
  <si>
    <t xml:space="preserve">Valori dimostrativi, non reali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</si>
</sst>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30" hidden="false" customHeight="true" outlineLevel="0" collapsed="false">
      <c r="B4" s="3" t="s">
        <v>2</v>
      </c>
    </row>
    <row r="5" customFormat="false" ht="30" hidden="false" customHeight="true" outlineLevel="0" collapsed="false">
      <c r="B5" s="3" t="s">
        <v>3</v>
      </c>
    </row>
    <row r="6" customFormat="false" ht="30" hidden="false" customHeight="true" outlineLevel="0" collapsed="false">
      <c r="B6" s="3" t="s">
        <v>4</v>
      </c>
    </row>
    <row r="7" customFormat="false" ht="30" hidden="false" customHeight="true" outlineLevel="0" collapsed="false">
      <c r="B7" s="3" t="s">
        <v>5</v>
      </c>
    </row>
    <row r="9" customFormat="false" ht="15" hidden="false" customHeight="false" outlineLevel="0" collapsed="false">
      <c r="B9" s="2" t="s">
        <v>6</v>
      </c>
    </row>
    <row r="10" customFormat="false" ht="30" hidden="false" customHeight="true" outlineLevel="0" collapsed="false">
      <c r="B10" s="3" t="s">
        <v>7</v>
      </c>
    </row>
    <row r="12" customFormat="false" ht="15" hidden="false" customHeight="false" outlineLevel="0" collapsed="false">
      <c r="B12" s="2" t="s">
        <v>8</v>
      </c>
    </row>
    <row r="13" customFormat="false" ht="30" hidden="false" customHeight="true" outlineLevel="0" collapsed="false">
      <c r="B13" s="3" t="s">
        <v>9</v>
      </c>
    </row>
    <row r="14" customFormat="false" ht="30" hidden="false" customHeight="true" outlineLevel="0" collapsed="false">
      <c r="B14" s="3" t="s">
        <v>10</v>
      </c>
    </row>
    <row r="15" customFormat="false" ht="30" hidden="false" customHeight="true" outlineLevel="0" collapsed="false">
      <c r="B15" s="3" t="s">
        <v>11</v>
      </c>
    </row>
    <row r="16" customFormat="false" ht="30" hidden="false" customHeight="true" outlineLevel="0" collapsed="false">
      <c r="B16" s="3" t="s">
        <v>12</v>
      </c>
    </row>
    <row r="17" customFormat="false" ht="30" hidden="false" customHeight="true" outlineLevel="0" collapsed="false">
      <c r="B17" s="3" t="s">
        <v>13</v>
      </c>
    </row>
    <row r="19" customFormat="false" ht="15" hidden="false" customHeight="false" outlineLevel="0" collapsed="false">
      <c r="B19" s="2" t="s">
        <v>14</v>
      </c>
    </row>
    <row r="20" customFormat="false" ht="39.75" hidden="false" customHeight="true" outlineLevel="0" collapsed="false">
      <c r="B2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16</v>
      </c>
    </row>
    <row r="3" customFormat="false" ht="15" hidden="false" customHeight="false" outlineLevel="0" collapsed="false">
      <c r="A3" s="2" t="s">
        <v>17</v>
      </c>
    </row>
    <row r="4" customFormat="false" ht="15" hidden="false" customHeight="false" outlineLevel="0" collapsed="false">
      <c r="A4" s="5" t="s">
        <v>18</v>
      </c>
      <c r="B4" s="6" t="n">
        <v>2026</v>
      </c>
    </row>
    <row r="5" customFormat="false" ht="15" hidden="false" customHeight="false" outlineLevel="0" collapsed="false">
      <c r="A5" s="5" t="s">
        <v>19</v>
      </c>
      <c r="B5" s="7" t="n">
        <v>100</v>
      </c>
      <c r="C5" s="8" t="s">
        <v>20</v>
      </c>
    </row>
    <row r="6" customFormat="false" ht="15" hidden="false" customHeight="false" outlineLevel="0" collapsed="false">
      <c r="A6" s="5" t="s">
        <v>21</v>
      </c>
      <c r="B6" s="7" t="n">
        <v>300</v>
      </c>
      <c r="C6" s="8" t="s">
        <v>22</v>
      </c>
    </row>
    <row r="7" customFormat="false" ht="15" hidden="false" customHeight="false" outlineLevel="0" collapsed="false">
      <c r="A7" s="5" t="s">
        <v>23</v>
      </c>
      <c r="B7" s="7" t="n">
        <v>120000</v>
      </c>
      <c r="C7" s="8" t="s">
        <v>24</v>
      </c>
    </row>
    <row r="8" customFormat="false" ht="15" hidden="false" customHeight="false" outlineLevel="0" collapsed="false">
      <c r="A8" s="5" t="s">
        <v>25</v>
      </c>
      <c r="B8" s="9" t="s">
        <v>26</v>
      </c>
    </row>
    <row r="10" customFormat="false" ht="15" hidden="false" customHeight="false" outlineLevel="0" collapsed="false">
      <c r="A10" s="2" t="s">
        <v>27</v>
      </c>
    </row>
    <row r="11" customFormat="false" ht="15" hidden="false" customHeight="false" outlineLevel="0" collapsed="false">
      <c r="A11" s="10" t="s">
        <v>28</v>
      </c>
      <c r="B11" s="10" t="s">
        <v>29</v>
      </c>
      <c r="C11" s="10" t="s">
        <v>30</v>
      </c>
    </row>
    <row r="12" customFormat="false" ht="15" hidden="false" customHeight="false" outlineLevel="0" collapsed="false">
      <c r="A12" s="11" t="s">
        <v>31</v>
      </c>
      <c r="B12" s="12" t="n">
        <v>80</v>
      </c>
      <c r="C12" s="13" t="s">
        <v>32</v>
      </c>
    </row>
    <row r="13" customFormat="false" ht="15" hidden="false" customHeight="false" outlineLevel="0" collapsed="false">
      <c r="A13" s="11" t="s">
        <v>33</v>
      </c>
      <c r="B13" s="12" t="n">
        <v>93</v>
      </c>
      <c r="C13" s="13" t="s">
        <v>34</v>
      </c>
    </row>
    <row r="14" customFormat="false" ht="15" hidden="false" customHeight="false" outlineLevel="0" collapsed="false">
      <c r="A14" s="11" t="s">
        <v>35</v>
      </c>
      <c r="B14" s="12" t="n">
        <v>90</v>
      </c>
      <c r="C14" s="13" t="s">
        <v>34</v>
      </c>
    </row>
    <row r="15" customFormat="false" ht="15" hidden="false" customHeight="false" outlineLevel="0" collapsed="false">
      <c r="A15" s="11" t="s">
        <v>36</v>
      </c>
      <c r="B15" s="12" t="n">
        <v>75</v>
      </c>
      <c r="C15" s="13" t="s">
        <v>34</v>
      </c>
    </row>
    <row r="16" customFormat="false" ht="15" hidden="false" customHeight="false" outlineLevel="0" collapsed="false">
      <c r="A16" s="11" t="s">
        <v>37</v>
      </c>
      <c r="B16" s="12" t="n">
        <v>100</v>
      </c>
      <c r="C16" s="13" t="s">
        <v>34</v>
      </c>
    </row>
    <row r="17" customFormat="false" ht="15" hidden="false" customHeight="false" outlineLevel="0" collapsed="false">
      <c r="A17" s="11" t="s">
        <v>38</v>
      </c>
      <c r="B17" s="12" t="n">
        <v>55</v>
      </c>
      <c r="C17" s="13" t="s">
        <v>34</v>
      </c>
    </row>
    <row r="18" customFormat="false" ht="15" hidden="false" customHeight="false" outlineLevel="0" collapsed="false">
      <c r="A18" s="11" t="s">
        <v>39</v>
      </c>
      <c r="B18" s="12" t="n">
        <v>65</v>
      </c>
      <c r="C18" s="13" t="s">
        <v>34</v>
      </c>
    </row>
    <row r="19" customFormat="false" ht="15" hidden="false" customHeight="false" outlineLevel="0" collapsed="false">
      <c r="A19" s="11" t="s">
        <v>40</v>
      </c>
      <c r="B19" s="12" t="n">
        <v>80</v>
      </c>
      <c r="C19" s="13" t="s">
        <v>41</v>
      </c>
    </row>
    <row r="21" customFormat="false" ht="15" hidden="false" customHeight="false" outlineLevel="0" collapsed="false">
      <c r="A21" s="2" t="s">
        <v>42</v>
      </c>
    </row>
    <row r="22" customFormat="false" ht="15" hidden="false" customHeight="false" outlineLevel="0" collapsed="false">
      <c r="A22" s="5" t="s">
        <v>43</v>
      </c>
      <c r="B22" s="7" t="n">
        <v>7258</v>
      </c>
      <c r="C22" s="8" t="s">
        <v>44</v>
      </c>
    </row>
    <row r="23" customFormat="false" ht="15" hidden="false" customHeight="false" outlineLevel="0" collapsed="false">
      <c r="A23" s="5" t="s">
        <v>45</v>
      </c>
      <c r="B23" s="7" t="n">
        <v>11100</v>
      </c>
      <c r="C23" s="8" t="s">
        <v>46</v>
      </c>
    </row>
    <row r="24" customFormat="false" ht="15" hidden="false" customHeight="false" outlineLevel="0" collapsed="false">
      <c r="A24" s="5" t="s">
        <v>47</v>
      </c>
      <c r="B24" s="7" t="n">
        <v>6700</v>
      </c>
      <c r="C24" s="8" t="s">
        <v>48</v>
      </c>
    </row>
    <row r="25" customFormat="false" ht="15" hidden="false" customHeight="false" outlineLevel="0" collapsed="false">
      <c r="A25" s="5" t="s">
        <v>49</v>
      </c>
      <c r="B25" s="7" t="n">
        <v>12900</v>
      </c>
      <c r="C25" s="8" t="s">
        <v>50</v>
      </c>
    </row>
    <row r="26" customFormat="false" ht="15" hidden="false" customHeight="false" outlineLevel="0" collapsed="false">
      <c r="A26" s="5" t="s">
        <v>51</v>
      </c>
      <c r="B26" s="7" t="n">
        <v>2500</v>
      </c>
      <c r="C26" s="8" t="s">
        <v>50</v>
      </c>
    </row>
    <row r="29" customFormat="false" ht="15" hidden="false" customHeight="false" outlineLevel="0" collapsed="false">
      <c r="A29" s="2" t="s">
        <v>52</v>
      </c>
    </row>
    <row r="30" customFormat="false" ht="15" hidden="false" customHeight="false" outlineLevel="0" collapsed="false">
      <c r="A30" s="10" t="s">
        <v>53</v>
      </c>
      <c r="B30" s="10" t="s">
        <v>54</v>
      </c>
      <c r="C30" s="10" t="s">
        <v>55</v>
      </c>
    </row>
    <row r="31" customFormat="false" ht="15" hidden="false" customHeight="false" outlineLevel="0" collapsed="false">
      <c r="A31" s="12" t="n">
        <v>0</v>
      </c>
      <c r="B31" s="14" t="n">
        <v>0</v>
      </c>
      <c r="C31" s="15" t="n">
        <v>0</v>
      </c>
    </row>
    <row r="32" customFormat="false" ht="15" hidden="false" customHeight="false" outlineLevel="0" collapsed="false">
      <c r="A32" s="12" t="n">
        <v>15200</v>
      </c>
      <c r="B32" s="14" t="n">
        <v>0.0077</v>
      </c>
      <c r="C32" s="15" t="n">
        <f aca="false">C31+(A32-A31)*B31</f>
        <v>0</v>
      </c>
    </row>
    <row r="33" customFormat="false" ht="15" hidden="false" customHeight="false" outlineLevel="0" collapsed="false">
      <c r="A33" s="12" t="n">
        <v>33200</v>
      </c>
      <c r="B33" s="14" t="n">
        <v>0.0088</v>
      </c>
      <c r="C33" s="15" t="n">
        <f aca="false">C32+(A33-A32)*B32</f>
        <v>138.6</v>
      </c>
    </row>
    <row r="34" customFormat="false" ht="15" hidden="false" customHeight="false" outlineLevel="0" collapsed="false">
      <c r="A34" s="12" t="n">
        <v>43500</v>
      </c>
      <c r="B34" s="14" t="n">
        <v>0.0264</v>
      </c>
      <c r="C34" s="15" t="n">
        <f aca="false">C33+(A34-A33)*B33</f>
        <v>229.24</v>
      </c>
    </row>
    <row r="35" customFormat="false" ht="15" hidden="false" customHeight="false" outlineLevel="0" collapsed="false">
      <c r="A35" s="12" t="n">
        <v>58000</v>
      </c>
      <c r="B35" s="14" t="n">
        <v>0.0297</v>
      </c>
      <c r="C35" s="15" t="n">
        <f aca="false">C34+(A35-A34)*B34</f>
        <v>612.04</v>
      </c>
    </row>
    <row r="36" customFormat="false" ht="15" hidden="false" customHeight="false" outlineLevel="0" collapsed="false">
      <c r="A36" s="12" t="n">
        <v>76100</v>
      </c>
      <c r="B36" s="14" t="n">
        <v>0.0594</v>
      </c>
      <c r="C36" s="15" t="n">
        <f aca="false">C35+(A36-A35)*B35</f>
        <v>1149.61</v>
      </c>
    </row>
    <row r="37" customFormat="false" ht="15" hidden="false" customHeight="false" outlineLevel="0" collapsed="false">
      <c r="A37" s="12" t="n">
        <v>82000</v>
      </c>
      <c r="B37" s="14" t="n">
        <v>0.066</v>
      </c>
      <c r="C37" s="15" t="n">
        <f aca="false">C36+(A37-A36)*B36</f>
        <v>1500.07</v>
      </c>
    </row>
    <row r="38" customFormat="false" ht="15" hidden="false" customHeight="false" outlineLevel="0" collapsed="false">
      <c r="A38" s="12" t="n">
        <v>108800</v>
      </c>
      <c r="B38" s="14" t="n">
        <v>0.088</v>
      </c>
      <c r="C38" s="15" t="n">
        <f aca="false">C37+(A38-A37)*B37</f>
        <v>3268.87</v>
      </c>
    </row>
    <row r="39" customFormat="false" ht="15" hidden="false" customHeight="false" outlineLevel="0" collapsed="false">
      <c r="A39" s="12" t="n">
        <v>141500</v>
      </c>
      <c r="B39" s="14" t="n">
        <v>0.11</v>
      </c>
      <c r="C39" s="15" t="n">
        <f aca="false">C38+(A39-A38)*B38</f>
        <v>6146.47</v>
      </c>
    </row>
    <row r="40" customFormat="false" ht="15" hidden="false" customHeight="false" outlineLevel="0" collapsed="false">
      <c r="A40" s="12" t="n">
        <v>184900</v>
      </c>
      <c r="B40" s="14" t="n">
        <v>0.132</v>
      </c>
      <c r="C40" s="15" t="n">
        <f aca="false">C39+(A40-A39)*B39</f>
        <v>10920.47</v>
      </c>
    </row>
    <row r="41" customFormat="false" ht="15" hidden="false" customHeight="false" outlineLevel="0" collapsed="false">
      <c r="A41" s="5" t="s">
        <v>56</v>
      </c>
      <c r="B41" s="7" t="n">
        <v>793400</v>
      </c>
    </row>
    <row r="42" customFormat="false" ht="15" hidden="false" customHeight="false" outlineLevel="0" collapsed="false">
      <c r="A42" s="5" t="s">
        <v>57</v>
      </c>
      <c r="B42" s="16" t="n">
        <v>0.115</v>
      </c>
    </row>
    <row r="45" customFormat="false" ht="15" hidden="false" customHeight="false" outlineLevel="0" collapsed="false">
      <c r="A45" s="2" t="s">
        <v>58</v>
      </c>
    </row>
    <row r="46" customFormat="false" ht="15" hidden="false" customHeight="false" outlineLevel="0" collapsed="false">
      <c r="A46" s="10" t="s">
        <v>53</v>
      </c>
      <c r="B46" s="10" t="s">
        <v>54</v>
      </c>
      <c r="C46" s="10" t="s">
        <v>55</v>
      </c>
    </row>
    <row r="47" customFormat="false" ht="15" hidden="false" customHeight="false" outlineLevel="0" collapsed="false">
      <c r="A47" s="12" t="n">
        <v>0</v>
      </c>
      <c r="B47" s="14" t="n">
        <v>0</v>
      </c>
      <c r="C47" s="15" t="n">
        <v>0</v>
      </c>
    </row>
    <row r="48" customFormat="false" ht="15" hidden="false" customHeight="false" outlineLevel="0" collapsed="false">
      <c r="A48" s="12" t="n">
        <v>29700</v>
      </c>
      <c r="B48" s="14" t="n">
        <v>0.01</v>
      </c>
      <c r="C48" s="15" t="n">
        <f aca="false">C47+(A48-A47)*B47</f>
        <v>0</v>
      </c>
    </row>
    <row r="49" customFormat="false" ht="15" hidden="false" customHeight="false" outlineLevel="0" collapsed="false">
      <c r="A49" s="12" t="n">
        <v>53400</v>
      </c>
      <c r="B49" s="14" t="n">
        <v>0.02</v>
      </c>
      <c r="C49" s="15" t="n">
        <f aca="false">C48+(A49-A48)*B48</f>
        <v>237</v>
      </c>
    </row>
    <row r="50" customFormat="false" ht="15" hidden="false" customHeight="false" outlineLevel="0" collapsed="false">
      <c r="A50" s="12" t="n">
        <v>61300</v>
      </c>
      <c r="B50" s="14" t="n">
        <v>0.03</v>
      </c>
      <c r="C50" s="15" t="n">
        <f aca="false">C49+(A50-A49)*B49</f>
        <v>395</v>
      </c>
    </row>
    <row r="51" customFormat="false" ht="15" hidden="false" customHeight="false" outlineLevel="0" collapsed="false">
      <c r="A51" s="12" t="n">
        <v>79100</v>
      </c>
      <c r="B51" s="14" t="n">
        <v>0.04</v>
      </c>
      <c r="C51" s="15" t="n">
        <f aca="false">C50+(A51-A50)*B50</f>
        <v>929</v>
      </c>
    </row>
    <row r="52" customFormat="false" ht="15" hidden="false" customHeight="false" outlineLevel="0" collapsed="false">
      <c r="A52" s="12" t="n">
        <v>94900</v>
      </c>
      <c r="B52" s="14" t="n">
        <v>0.05</v>
      </c>
      <c r="C52" s="15" t="n">
        <f aca="false">C51+(A52-A51)*B51</f>
        <v>1561</v>
      </c>
    </row>
    <row r="53" customFormat="false" ht="15" hidden="false" customHeight="false" outlineLevel="0" collapsed="false">
      <c r="A53" s="12" t="n">
        <v>108600</v>
      </c>
      <c r="B53" s="14" t="n">
        <v>0.06</v>
      </c>
      <c r="C53" s="15" t="n">
        <f aca="false">C52+(A53-A52)*B52</f>
        <v>2246</v>
      </c>
    </row>
    <row r="54" customFormat="false" ht="15" hidden="false" customHeight="false" outlineLevel="0" collapsed="false">
      <c r="A54" s="12" t="n">
        <v>120500</v>
      </c>
      <c r="B54" s="14" t="n">
        <v>0.07</v>
      </c>
      <c r="C54" s="15" t="n">
        <f aca="false">C53+(A54-A53)*B53</f>
        <v>2960</v>
      </c>
    </row>
    <row r="55" customFormat="false" ht="15" hidden="false" customHeight="false" outlineLevel="0" collapsed="false">
      <c r="A55" s="12" t="n">
        <v>130500</v>
      </c>
      <c r="B55" s="14" t="n">
        <v>0.08</v>
      </c>
      <c r="C55" s="15" t="n">
        <f aca="false">C54+(A55-A54)*B54</f>
        <v>3660</v>
      </c>
    </row>
    <row r="56" customFormat="false" ht="15" hidden="false" customHeight="false" outlineLevel="0" collapsed="false">
      <c r="A56" s="12" t="n">
        <v>138300</v>
      </c>
      <c r="B56" s="14" t="n">
        <v>0.09</v>
      </c>
      <c r="C56" s="15" t="n">
        <f aca="false">C55+(A56-A55)*B55</f>
        <v>4284</v>
      </c>
    </row>
    <row r="57" customFormat="false" ht="15" hidden="false" customHeight="false" outlineLevel="0" collapsed="false">
      <c r="A57" s="12" t="n">
        <v>144200</v>
      </c>
      <c r="B57" s="14" t="n">
        <v>0.1</v>
      </c>
      <c r="C57" s="15" t="n">
        <f aca="false">C56+(A57-A56)*B56</f>
        <v>4815</v>
      </c>
    </row>
    <row r="58" customFormat="false" ht="15" hidden="false" customHeight="false" outlineLevel="0" collapsed="false">
      <c r="A58" s="12" t="n">
        <v>148200</v>
      </c>
      <c r="B58" s="14" t="n">
        <v>0.11</v>
      </c>
      <c r="C58" s="15" t="n">
        <f aca="false">C57+(A58-A57)*B57</f>
        <v>5215</v>
      </c>
    </row>
    <row r="59" customFormat="false" ht="15" hidden="false" customHeight="false" outlineLevel="0" collapsed="false">
      <c r="A59" s="12" t="n">
        <v>150300</v>
      </c>
      <c r="B59" s="14" t="n">
        <v>0.12</v>
      </c>
      <c r="C59" s="15" t="n">
        <f aca="false">C58+(A59-A58)*B58</f>
        <v>5446</v>
      </c>
    </row>
    <row r="60" customFormat="false" ht="15" hidden="false" customHeight="false" outlineLevel="0" collapsed="false">
      <c r="A60" s="12" t="n">
        <v>152300</v>
      </c>
      <c r="B60" s="14" t="n">
        <v>0.13</v>
      </c>
      <c r="C60" s="15" t="n">
        <f aca="false">C59+(A60-A59)*B59</f>
        <v>5686</v>
      </c>
    </row>
    <row r="61" customFormat="false" ht="15" hidden="false" customHeight="false" outlineLevel="0" collapsed="false">
      <c r="A61" s="5" t="s">
        <v>56</v>
      </c>
      <c r="B61" s="7" t="n">
        <v>940800</v>
      </c>
    </row>
    <row r="62" customFormat="false" ht="15" hidden="false" customHeight="false" outlineLevel="0" collapsed="false">
      <c r="A62" s="5" t="s">
        <v>57</v>
      </c>
      <c r="B62" s="16" t="n">
        <v>0.115</v>
      </c>
    </row>
    <row r="65" customFormat="false" ht="15" hidden="false" customHeight="false" outlineLevel="0" collapsed="false">
      <c r="A65" s="2" t="s">
        <v>59</v>
      </c>
      <c r="D65" s="17" t="s">
        <v>60</v>
      </c>
    </row>
    <row r="66" customFormat="false" ht="15" hidden="false" customHeight="false" outlineLevel="0" collapsed="false">
      <c r="A66" s="10" t="s">
        <v>53</v>
      </c>
      <c r="B66" s="10" t="s">
        <v>54</v>
      </c>
      <c r="C66" s="10" t="s">
        <v>55</v>
      </c>
    </row>
    <row r="67" customFormat="false" ht="15" hidden="false" customHeight="false" outlineLevel="0" collapsed="false">
      <c r="A67" s="12" t="n">
        <v>0</v>
      </c>
      <c r="B67" s="14" t="n">
        <v>0</v>
      </c>
      <c r="C67" s="15" t="n">
        <v>0</v>
      </c>
    </row>
    <row r="68" customFormat="false" ht="15" hidden="false" customHeight="false" outlineLevel="0" collapsed="false">
      <c r="A68" s="12" t="n">
        <v>12300</v>
      </c>
      <c r="B68" s="14" t="n">
        <v>0.02</v>
      </c>
      <c r="C68" s="15" t="n">
        <f aca="false">C67+(A68-A67)*B67</f>
        <v>0</v>
      </c>
    </row>
    <row r="69" customFormat="false" ht="15" hidden="false" customHeight="false" outlineLevel="0" collapsed="false">
      <c r="A69" s="12" t="n">
        <v>17000</v>
      </c>
      <c r="B69" s="14" t="n">
        <v>0.03</v>
      </c>
      <c r="C69" s="15" t="n">
        <f aca="false">C68+(A69-A68)*B68</f>
        <v>94</v>
      </c>
    </row>
    <row r="70" customFormat="false" ht="15" hidden="false" customHeight="false" outlineLevel="0" collapsed="false">
      <c r="A70" s="12" t="n">
        <v>25000</v>
      </c>
      <c r="B70" s="14" t="n">
        <v>0.05</v>
      </c>
      <c r="C70" s="15" t="n">
        <f aca="false">C69+(A70-A69)*B69</f>
        <v>334</v>
      </c>
    </row>
    <row r="71" customFormat="false" ht="15" hidden="false" customHeight="false" outlineLevel="0" collapsed="false">
      <c r="A71" s="12" t="n">
        <v>35000</v>
      </c>
      <c r="B71" s="14" t="n">
        <v>0.06</v>
      </c>
      <c r="C71" s="15" t="n">
        <f aca="false">C70+(A71-A70)*B70</f>
        <v>834</v>
      </c>
    </row>
    <row r="72" customFormat="false" ht="15" hidden="false" customHeight="false" outlineLevel="0" collapsed="false">
      <c r="A72" s="12" t="n">
        <v>50000</v>
      </c>
      <c r="B72" s="14" t="n">
        <v>0.07</v>
      </c>
      <c r="C72" s="15" t="n">
        <f aca="false">C71+(A72-A71)*B71</f>
        <v>1734</v>
      </c>
    </row>
    <row r="73" customFormat="false" ht="15" hidden="false" customHeight="false" outlineLevel="0" collapsed="false">
      <c r="A73" s="12" t="n">
        <v>70000</v>
      </c>
      <c r="B73" s="14" t="n">
        <v>0.09</v>
      </c>
      <c r="C73" s="15" t="n">
        <f aca="false">C72+(A73-A72)*B72</f>
        <v>3134</v>
      </c>
    </row>
    <row r="74" customFormat="false" ht="15" hidden="false" customHeight="false" outlineLevel="0" collapsed="false">
      <c r="A74" s="12" t="n">
        <v>100000</v>
      </c>
      <c r="B74" s="14" t="n">
        <v>0.11</v>
      </c>
      <c r="C74" s="15" t="n">
        <f aca="false">C73+(A74-A73)*B73</f>
        <v>5834</v>
      </c>
    </row>
    <row r="75" customFormat="false" ht="15" hidden="false" customHeight="false" outlineLevel="0" collapsed="false">
      <c r="A75" s="12" t="n">
        <v>150000</v>
      </c>
      <c r="B75" s="14" t="n">
        <v>0.13</v>
      </c>
      <c r="C75" s="15" t="n">
        <f aca="false">C74+(A75-A74)*B74</f>
        <v>11334</v>
      </c>
    </row>
    <row r="76" customFormat="false" ht="15" hidden="false" customHeight="false" outlineLevel="0" collapsed="false">
      <c r="A76" s="12" t="n">
        <v>250000</v>
      </c>
      <c r="B76" s="14" t="n">
        <v>0.14</v>
      </c>
      <c r="C76" s="15" t="n">
        <f aca="false">C75+(A76-A75)*B75</f>
        <v>24334</v>
      </c>
    </row>
    <row r="77" customFormat="false" ht="15" hidden="false" customHeight="false" outlineLevel="0" collapsed="false">
      <c r="A77" s="5" t="s">
        <v>56</v>
      </c>
      <c r="B77" s="7" t="n">
        <v>374500</v>
      </c>
    </row>
    <row r="78" customFormat="false" ht="15" hidden="false" customHeight="false" outlineLevel="0" collapsed="false">
      <c r="A78" s="5" t="s">
        <v>57</v>
      </c>
      <c r="B78" s="16" t="n">
        <v>0.12</v>
      </c>
    </row>
    <row r="81" customFormat="false" ht="15" hidden="false" customHeight="false" outlineLevel="0" collapsed="false">
      <c r="A81" s="2" t="s">
        <v>61</v>
      </c>
      <c r="D81" s="17" t="s">
        <v>60</v>
      </c>
    </row>
    <row r="82" customFormat="false" ht="15" hidden="false" customHeight="false" outlineLevel="0" collapsed="false">
      <c r="A82" s="10" t="s">
        <v>53</v>
      </c>
      <c r="B82" s="10" t="s">
        <v>54</v>
      </c>
      <c r="C82" s="10" t="s">
        <v>55</v>
      </c>
    </row>
    <row r="83" customFormat="false" ht="15" hidden="false" customHeight="false" outlineLevel="0" collapsed="false">
      <c r="A83" s="12" t="n">
        <v>0</v>
      </c>
      <c r="B83" s="14" t="n">
        <v>0</v>
      </c>
      <c r="C83" s="15" t="n">
        <v>0</v>
      </c>
    </row>
    <row r="84" customFormat="false" ht="15" hidden="false" customHeight="false" outlineLevel="0" collapsed="false">
      <c r="A84" s="12" t="n">
        <v>20100</v>
      </c>
      <c r="B84" s="14" t="n">
        <v>0.02</v>
      </c>
      <c r="C84" s="15" t="n">
        <f aca="false">C83+(A84-A83)*B83</f>
        <v>0</v>
      </c>
    </row>
    <row r="85" customFormat="false" ht="15" hidden="false" customHeight="false" outlineLevel="0" collapsed="false">
      <c r="A85" s="12" t="n">
        <v>30000</v>
      </c>
      <c r="B85" s="14" t="n">
        <v>0.03</v>
      </c>
      <c r="C85" s="15" t="n">
        <f aca="false">C84+(A85-A84)*B84</f>
        <v>198</v>
      </c>
    </row>
    <row r="86" customFormat="false" ht="15" hidden="false" customHeight="false" outlineLevel="0" collapsed="false">
      <c r="A86" s="12" t="n">
        <v>45000</v>
      </c>
      <c r="B86" s="14" t="n">
        <v>0.04</v>
      </c>
      <c r="C86" s="15" t="n">
        <f aca="false">C85+(A86-A85)*B85</f>
        <v>648</v>
      </c>
    </row>
    <row r="87" customFormat="false" ht="15" hidden="false" customHeight="false" outlineLevel="0" collapsed="false">
      <c r="A87" s="12" t="n">
        <v>60000</v>
      </c>
      <c r="B87" s="14" t="n">
        <v>0.05</v>
      </c>
      <c r="C87" s="15" t="n">
        <f aca="false">C86+(A87-A86)*B86</f>
        <v>1248</v>
      </c>
    </row>
    <row r="88" customFormat="false" ht="15" hidden="false" customHeight="false" outlineLevel="0" collapsed="false">
      <c r="A88" s="12" t="n">
        <v>80000</v>
      </c>
      <c r="B88" s="14" t="n">
        <v>0.06</v>
      </c>
      <c r="C88" s="15" t="n">
        <f aca="false">C87+(A88-A87)*B87</f>
        <v>2248</v>
      </c>
    </row>
    <row r="89" customFormat="false" ht="15" hidden="false" customHeight="false" outlineLevel="0" collapsed="false">
      <c r="A89" s="12" t="n">
        <v>110000</v>
      </c>
      <c r="B89" s="14" t="n">
        <v>0.08</v>
      </c>
      <c r="C89" s="15" t="n">
        <f aca="false">C88+(A89-A88)*B88</f>
        <v>4048</v>
      </c>
    </row>
    <row r="90" customFormat="false" ht="15" hidden="false" customHeight="false" outlineLevel="0" collapsed="false">
      <c r="A90" s="12" t="n">
        <v>160000</v>
      </c>
      <c r="B90" s="14" t="n">
        <v>0.1</v>
      </c>
      <c r="C90" s="15" t="n">
        <f aca="false">C89+(A90-A89)*B89</f>
        <v>8048</v>
      </c>
    </row>
    <row r="91" customFormat="false" ht="15" hidden="false" customHeight="false" outlineLevel="0" collapsed="false">
      <c r="A91" s="12" t="n">
        <v>250000</v>
      </c>
      <c r="B91" s="14" t="n">
        <v>0.12</v>
      </c>
      <c r="C91" s="15" t="n">
        <f aca="false">C90+(A91-A90)*B90</f>
        <v>17048</v>
      </c>
    </row>
    <row r="92" customFormat="false" ht="15" hidden="false" customHeight="false" outlineLevel="0" collapsed="false">
      <c r="A92" s="12" t="n">
        <v>450000</v>
      </c>
      <c r="B92" s="14" t="n">
        <v>0.135</v>
      </c>
      <c r="C92" s="15" t="n">
        <f aca="false">C91+(A92-A91)*B91</f>
        <v>41048</v>
      </c>
    </row>
    <row r="93" customFormat="false" ht="15" hidden="false" customHeight="false" outlineLevel="0" collapsed="false">
      <c r="A93" s="5" t="s">
        <v>56</v>
      </c>
      <c r="B93" s="7" t="n">
        <v>749100</v>
      </c>
    </row>
    <row r="94" customFormat="false" ht="15" hidden="false" customHeight="false" outlineLevel="0" collapsed="false">
      <c r="A94" s="5" t="s">
        <v>57</v>
      </c>
      <c r="B94" s="16" t="n"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8" min="6" style="0" width="13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5" min="13" style="0" width="11"/>
    <col collapsed="false" customWidth="true" hidden="false" outlineLevel="0" max="17" min="16" style="0" width="13"/>
    <col collapsed="false" customWidth="true" hidden="false" outlineLevel="0" max="19" min="18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0"/>
    <col collapsed="false" customWidth="true" hidden="false" outlineLevel="0" max="25" min="25" style="0" width="13"/>
    <col collapsed="false" customWidth="true" hidden="false" outlineLevel="0" max="26" min="26" style="0" width="12"/>
    <col collapsed="false" customWidth="true" hidden="false" outlineLevel="0" max="27" min="27" style="0" width="20"/>
    <col collapsed="false" customWidth="true" hidden="false" outlineLevel="0" max="28" min="28" style="0" width="30"/>
  </cols>
  <sheetData>
    <row r="1" customFormat="false" ht="17.35" hidden="false" customHeight="false" outlineLevel="0" collapsed="false">
      <c r="A1" s="1" t="s">
        <v>62</v>
      </c>
    </row>
    <row r="2" customFormat="false" ht="42" hidden="false" customHeight="true" outlineLevel="0" collapsed="false">
      <c r="A2" s="18" t="s">
        <v>63</v>
      </c>
      <c r="B2" s="18" t="s">
        <v>64</v>
      </c>
      <c r="C2" s="18" t="s">
        <v>65</v>
      </c>
      <c r="D2" s="18" t="s">
        <v>28</v>
      </c>
      <c r="E2" s="18" t="s">
        <v>66</v>
      </c>
      <c r="F2" s="18" t="s">
        <v>67</v>
      </c>
      <c r="G2" s="18" t="s">
        <v>68</v>
      </c>
      <c r="H2" s="18" t="s">
        <v>69</v>
      </c>
      <c r="I2" s="18" t="s">
        <v>70</v>
      </c>
      <c r="J2" s="18" t="s">
        <v>71</v>
      </c>
      <c r="K2" s="18" t="s">
        <v>72</v>
      </c>
      <c r="L2" s="18" t="s">
        <v>73</v>
      </c>
      <c r="M2" s="18" t="s">
        <v>74</v>
      </c>
      <c r="N2" s="18" t="s">
        <v>75</v>
      </c>
      <c r="O2" s="18" t="s">
        <v>76</v>
      </c>
      <c r="P2" s="18" t="s">
        <v>77</v>
      </c>
      <c r="Q2" s="18" t="s">
        <v>78</v>
      </c>
      <c r="R2" s="18" t="s">
        <v>79</v>
      </c>
      <c r="S2" s="18" t="s">
        <v>80</v>
      </c>
      <c r="T2" s="18" t="s">
        <v>81</v>
      </c>
      <c r="U2" s="18" t="s">
        <v>82</v>
      </c>
      <c r="V2" s="18" t="s">
        <v>83</v>
      </c>
      <c r="W2" s="18" t="s">
        <v>84</v>
      </c>
      <c r="X2" s="18" t="s">
        <v>85</v>
      </c>
      <c r="Y2" s="18" t="s">
        <v>86</v>
      </c>
      <c r="Z2" s="18" t="s">
        <v>87</v>
      </c>
      <c r="AA2" s="18" t="s">
        <v>88</v>
      </c>
      <c r="AB2" s="18" t="s">
        <v>89</v>
      </c>
    </row>
    <row r="3" customFormat="false" ht="15" hidden="false" customHeight="false" outlineLevel="0" collapsed="false">
      <c r="A3" s="19" t="s">
        <v>90</v>
      </c>
      <c r="B3" s="19" t="s">
        <v>91</v>
      </c>
      <c r="C3" s="19" t="s">
        <v>92</v>
      </c>
      <c r="D3" s="19" t="s">
        <v>31</v>
      </c>
      <c r="E3" s="19" t="n">
        <v>0</v>
      </c>
      <c r="F3" s="12" t="n">
        <v>95000</v>
      </c>
      <c r="G3" s="12" t="n">
        <v>84500</v>
      </c>
      <c r="H3" s="12" t="n">
        <v>8700</v>
      </c>
      <c r="I3" s="12" t="n">
        <v>7258</v>
      </c>
      <c r="J3" s="12" t="n">
        <v>2500</v>
      </c>
      <c r="K3" s="12" t="n">
        <v>2800</v>
      </c>
      <c r="L3" s="12" t="n">
        <v>0</v>
      </c>
      <c r="M3" s="12" t="n">
        <v>0</v>
      </c>
      <c r="N3" s="15" t="n">
        <f aca="false">E3*Parametri!$B$23</f>
        <v>0</v>
      </c>
      <c r="O3" s="15" t="n">
        <f aca="false">E3*Parametri!$B$24</f>
        <v>0</v>
      </c>
      <c r="P3" s="15" t="n">
        <f aca="false">MAX(0,G3-SUM(I3:M3)-N3)</f>
        <v>71942</v>
      </c>
      <c r="Q3" s="15" t="n">
        <f aca="false">MAX(0,G3-SUM(I3:M3)-O3)</f>
        <v>71942</v>
      </c>
      <c r="R3" s="20" t="n">
        <f aca="false">IF(P3&lt;=0,0,IF(C3="Coniugati",IF(P3&gt;=Parametri!$B$93,Parametri!$B$94,(VLOOKUP(P3,Parametri!$A$83:$C$92,3,TRUE())+(P3-VLOOKUP(P3,Parametri!$A$83:$C$92,1,TRUE()))*VLOOKUP(P3,Parametri!$A$83:$C$92,2,TRUE()))/P3),IF(P3&gt;=Parametri!$B$77,Parametri!$B$78,(VLOOKUP(P3,Parametri!$A$67:$C$76,3,TRUE())+(P3-VLOOKUP(P3,Parametri!$A$67:$C$76,1,TRUE()))*VLOOKUP(P3,Parametri!$A$67:$C$76,2,TRUE()))/P3)))</f>
        <v>0.0459923271524284</v>
      </c>
      <c r="S3" s="14"/>
      <c r="T3" s="15" t="n">
        <f aca="false">P3*IF(S3="",R3,S3)</f>
        <v>3308.78</v>
      </c>
      <c r="U3" s="15" t="n">
        <f aca="false">T3*(Parametri!$B$5+IFERROR(VLOOKUP(D3,Parametri!$A$12:$B$19,2,FALSE()),VLOOKUP("Altro",Parametri!$A$12:$B$19,2,FALSE())))/100</f>
        <v>5955.804</v>
      </c>
      <c r="V3" s="15" t="n">
        <f aca="false">IF(Q3&lt;=0,0,IF(C3="Coniugati",IF(Q3&gt;=Parametri!$B$61,Q3*Parametri!$B$62,VLOOKUP(Q3,Parametri!$A$47:$C$60,3,TRUE())+(Q3-VLOOKUP(Q3,Parametri!$A$47:$C$60,1,TRUE()))*VLOOKUP(Q3,Parametri!$A$47:$C$60,2,TRUE())),IF(Q3&gt;=Parametri!$B$41,Q3*Parametri!$B$42,VLOOKUP(Q3,Parametri!$A$31:$C$40,3,TRUE())+(Q3-VLOOKUP(Q3,Parametri!$A$31:$C$40,1,TRUE()))*VLOOKUP(Q3,Parametri!$A$31:$C$40,2,TRUE()))))</f>
        <v>1026.1174</v>
      </c>
      <c r="W3" s="15" t="n">
        <f aca="false">U3+V3</f>
        <v>6981.9214</v>
      </c>
      <c r="X3" s="20" t="n">
        <f aca="false">IF(F3&gt;0,H3/F3,0)</f>
        <v>0.0915789473684211</v>
      </c>
      <c r="Y3" s="15" t="n">
        <f aca="false">H3-W3</f>
        <v>1718.0786</v>
      </c>
      <c r="Z3" s="21" t="str">
        <f aca="false">IF(B3="","",IF(B3="Residente TI",IF(F3&gt;Parametri!$B$7,"SÌ (obbligatoria)","no"),"—"))</f>
        <v>no</v>
      </c>
      <c r="AA3" s="21" t="str">
        <f aca="false">IF(B3="","",IF(B3="Frontaliere nuovo accordo","TOU NON RICHIEDIBILE",IF(Y3&gt;Parametri!$B$6,"TOU CONVIENE",IF(Y3&lt;-Parametri!$B$6,"TOU NON CONVIENE","CIRCA NEUTRA"))))</f>
        <v>TOU CONVIENE</v>
      </c>
      <c r="AB3" s="13" t="s">
        <v>93</v>
      </c>
    </row>
    <row r="4" customFormat="false" ht="15" hidden="false" customHeight="false" outlineLevel="0" collapsed="false">
      <c r="A4" s="19"/>
      <c r="B4" s="19"/>
      <c r="C4" s="19"/>
      <c r="D4" s="19"/>
      <c r="E4" s="19"/>
      <c r="F4" s="12"/>
      <c r="G4" s="12"/>
      <c r="H4" s="12"/>
      <c r="I4" s="12"/>
      <c r="J4" s="12"/>
      <c r="K4" s="12"/>
      <c r="L4" s="12"/>
      <c r="M4" s="12"/>
      <c r="N4" s="15" t="n">
        <f aca="false">E4*Parametri!$B$23</f>
        <v>0</v>
      </c>
      <c r="O4" s="15" t="n">
        <f aca="false">E4*Parametri!$B$24</f>
        <v>0</v>
      </c>
      <c r="P4" s="15" t="n">
        <f aca="false">MAX(0,G4-SUM(I4:M4)-N4)</f>
        <v>0</v>
      </c>
      <c r="Q4" s="15" t="n">
        <f aca="false">MAX(0,G4-SUM(I4:M4)-O4)</f>
        <v>0</v>
      </c>
      <c r="R4" s="20" t="n">
        <f aca="false">IF(P4&lt;=0,0,IF(C4="Coniugati",IF(P4&gt;=Parametri!$B$93,Parametri!$B$94,(VLOOKUP(P4,Parametri!$A$83:$C$92,3,TRUE())+(P4-VLOOKUP(P4,Parametri!$A$83:$C$92,1,TRUE()))*VLOOKUP(P4,Parametri!$A$83:$C$92,2,TRUE()))/P4),IF(P4&gt;=Parametri!$B$77,Parametri!$B$78,(VLOOKUP(P4,Parametri!$A$67:$C$76,3,TRUE())+(P4-VLOOKUP(P4,Parametri!$A$67:$C$76,1,TRUE()))*VLOOKUP(P4,Parametri!$A$67:$C$76,2,TRUE()))/P4)))</f>
        <v>0</v>
      </c>
      <c r="S4" s="14"/>
      <c r="T4" s="15" t="n">
        <f aca="false">P4*IF(S4="",R4,S4)</f>
        <v>0</v>
      </c>
      <c r="U4" s="15" t="n">
        <f aca="false">T4*(Parametri!$B$5+IFERROR(VLOOKUP(D4,Parametri!$A$12:$B$19,2,FALSE()),VLOOKUP("Altro",Parametri!$A$12:$B$19,2,FALSE())))/100</f>
        <v>0</v>
      </c>
      <c r="V4" s="15" t="n">
        <f aca="false">IF(Q4&lt;=0,0,IF(C4="Coniugati",IF(Q4&gt;=Parametri!$B$61,Q4*Parametri!$B$62,VLOOKUP(Q4,Parametri!$A$47:$C$60,3,TRUE())+(Q4-VLOOKUP(Q4,Parametri!$A$47:$C$60,1,TRUE()))*VLOOKUP(Q4,Parametri!$A$47:$C$60,2,TRUE())),IF(Q4&gt;=Parametri!$B$41,Q4*Parametri!$B$42,VLOOKUP(Q4,Parametri!$A$31:$C$40,3,TRUE())+(Q4-VLOOKUP(Q4,Parametri!$A$31:$C$40,1,TRUE()))*VLOOKUP(Q4,Parametri!$A$31:$C$40,2,TRUE()))))</f>
        <v>0</v>
      </c>
      <c r="W4" s="15" t="n">
        <f aca="false">U4+V4</f>
        <v>0</v>
      </c>
      <c r="X4" s="20" t="n">
        <f aca="false">IF(F4&gt;0,H4/F4,0)</f>
        <v>0</v>
      </c>
      <c r="Y4" s="15" t="n">
        <f aca="false">H4-W4</f>
        <v>0</v>
      </c>
      <c r="Z4" s="21" t="str">
        <f aca="false">IF(B4="","",IF(B4="Residente TI",IF(F4&gt;Parametri!$B$7,"SÌ (obbligatoria)","no"),"—"))</f>
        <v/>
      </c>
      <c r="AA4" s="21" t="str">
        <f aca="false">IF(B4="","",IF(B4="Frontaliere nuovo accordo","TOU NON RICHIEDIBILE",IF(Y4&gt;Parametri!$B$6,"TOU CONVIENE",IF(Y4&lt;-Parametri!$B$6,"TOU NON CONVIENE","CIRCA NEUTRA"))))</f>
        <v/>
      </c>
      <c r="AB4" s="21"/>
    </row>
    <row r="5" customFormat="false" ht="15" hidden="false" customHeight="false" outlineLevel="0" collapsed="false">
      <c r="A5" s="19"/>
      <c r="B5" s="19"/>
      <c r="C5" s="19"/>
      <c r="D5" s="19"/>
      <c r="E5" s="19"/>
      <c r="F5" s="12"/>
      <c r="G5" s="12"/>
      <c r="H5" s="12"/>
      <c r="I5" s="12"/>
      <c r="J5" s="12"/>
      <c r="K5" s="12"/>
      <c r="L5" s="12"/>
      <c r="M5" s="12"/>
      <c r="N5" s="15" t="n">
        <f aca="false">E5*Parametri!$B$23</f>
        <v>0</v>
      </c>
      <c r="O5" s="15" t="n">
        <f aca="false">E5*Parametri!$B$24</f>
        <v>0</v>
      </c>
      <c r="P5" s="15" t="n">
        <f aca="false">MAX(0,G5-SUM(I5:M5)-N5)</f>
        <v>0</v>
      </c>
      <c r="Q5" s="15" t="n">
        <f aca="false">MAX(0,G5-SUM(I5:M5)-O5)</f>
        <v>0</v>
      </c>
      <c r="R5" s="20" t="n">
        <f aca="false">IF(P5&lt;=0,0,IF(C5="Coniugati",IF(P5&gt;=Parametri!$B$93,Parametri!$B$94,(VLOOKUP(P5,Parametri!$A$83:$C$92,3,TRUE())+(P5-VLOOKUP(P5,Parametri!$A$83:$C$92,1,TRUE()))*VLOOKUP(P5,Parametri!$A$83:$C$92,2,TRUE()))/P5),IF(P5&gt;=Parametri!$B$77,Parametri!$B$78,(VLOOKUP(P5,Parametri!$A$67:$C$76,3,TRUE())+(P5-VLOOKUP(P5,Parametri!$A$67:$C$76,1,TRUE()))*VLOOKUP(P5,Parametri!$A$67:$C$76,2,TRUE()))/P5)))</f>
        <v>0</v>
      </c>
      <c r="S5" s="14"/>
      <c r="T5" s="15" t="n">
        <f aca="false">P5*IF(S5="",R5,S5)</f>
        <v>0</v>
      </c>
      <c r="U5" s="15" t="n">
        <f aca="false">T5*(Parametri!$B$5+IFERROR(VLOOKUP(D5,Parametri!$A$12:$B$19,2,FALSE()),VLOOKUP("Altro",Parametri!$A$12:$B$19,2,FALSE())))/100</f>
        <v>0</v>
      </c>
      <c r="V5" s="15" t="n">
        <f aca="false">IF(Q5&lt;=0,0,IF(C5="Coniugati",IF(Q5&gt;=Parametri!$B$61,Q5*Parametri!$B$62,VLOOKUP(Q5,Parametri!$A$47:$C$60,3,TRUE())+(Q5-VLOOKUP(Q5,Parametri!$A$47:$C$60,1,TRUE()))*VLOOKUP(Q5,Parametri!$A$47:$C$60,2,TRUE())),IF(Q5&gt;=Parametri!$B$41,Q5*Parametri!$B$42,VLOOKUP(Q5,Parametri!$A$31:$C$40,3,TRUE())+(Q5-VLOOKUP(Q5,Parametri!$A$31:$C$40,1,TRUE()))*VLOOKUP(Q5,Parametri!$A$31:$C$40,2,TRUE()))))</f>
        <v>0</v>
      </c>
      <c r="W5" s="15" t="n">
        <f aca="false">U5+V5</f>
        <v>0</v>
      </c>
      <c r="X5" s="20" t="n">
        <f aca="false">IF(F5&gt;0,H5/F5,0)</f>
        <v>0</v>
      </c>
      <c r="Y5" s="15" t="n">
        <f aca="false">H5-W5</f>
        <v>0</v>
      </c>
      <c r="Z5" s="21" t="str">
        <f aca="false">IF(B5="","",IF(B5="Residente TI",IF(F5&gt;Parametri!$B$7,"SÌ (obbligatoria)","no"),"—"))</f>
        <v/>
      </c>
      <c r="AA5" s="21" t="str">
        <f aca="false">IF(B5="","",IF(B5="Frontaliere nuovo accordo","TOU NON RICHIEDIBILE",IF(Y5&gt;Parametri!$B$6,"TOU CONVIENE",IF(Y5&lt;-Parametri!$B$6,"TOU NON CONVIENE","CIRCA NEUTRA"))))</f>
        <v/>
      </c>
      <c r="AB5" s="21"/>
    </row>
    <row r="6" customFormat="false" ht="15" hidden="false" customHeight="false" outlineLevel="0" collapsed="false">
      <c r="A6" s="19"/>
      <c r="B6" s="19"/>
      <c r="C6" s="19"/>
      <c r="D6" s="19"/>
      <c r="E6" s="19"/>
      <c r="F6" s="12"/>
      <c r="G6" s="12"/>
      <c r="H6" s="12"/>
      <c r="I6" s="12"/>
      <c r="J6" s="12"/>
      <c r="K6" s="12"/>
      <c r="L6" s="12"/>
      <c r="M6" s="12"/>
      <c r="N6" s="15" t="n">
        <f aca="false">E6*Parametri!$B$23</f>
        <v>0</v>
      </c>
      <c r="O6" s="15" t="n">
        <f aca="false">E6*Parametri!$B$24</f>
        <v>0</v>
      </c>
      <c r="P6" s="15" t="n">
        <f aca="false">MAX(0,G6-SUM(I6:M6)-N6)</f>
        <v>0</v>
      </c>
      <c r="Q6" s="15" t="n">
        <f aca="false">MAX(0,G6-SUM(I6:M6)-O6)</f>
        <v>0</v>
      </c>
      <c r="R6" s="20" t="n">
        <f aca="false">IF(P6&lt;=0,0,IF(C6="Coniugati",IF(P6&gt;=Parametri!$B$93,Parametri!$B$94,(VLOOKUP(P6,Parametri!$A$83:$C$92,3,TRUE())+(P6-VLOOKUP(P6,Parametri!$A$83:$C$92,1,TRUE()))*VLOOKUP(P6,Parametri!$A$83:$C$92,2,TRUE()))/P6),IF(P6&gt;=Parametri!$B$77,Parametri!$B$78,(VLOOKUP(P6,Parametri!$A$67:$C$76,3,TRUE())+(P6-VLOOKUP(P6,Parametri!$A$67:$C$76,1,TRUE()))*VLOOKUP(P6,Parametri!$A$67:$C$76,2,TRUE()))/P6)))</f>
        <v>0</v>
      </c>
      <c r="S6" s="14"/>
      <c r="T6" s="15" t="n">
        <f aca="false">P6*IF(S6="",R6,S6)</f>
        <v>0</v>
      </c>
      <c r="U6" s="15" t="n">
        <f aca="false">T6*(Parametri!$B$5+IFERROR(VLOOKUP(D6,Parametri!$A$12:$B$19,2,FALSE()),VLOOKUP("Altro",Parametri!$A$12:$B$19,2,FALSE())))/100</f>
        <v>0</v>
      </c>
      <c r="V6" s="15" t="n">
        <f aca="false">IF(Q6&lt;=0,0,IF(C6="Coniugati",IF(Q6&gt;=Parametri!$B$61,Q6*Parametri!$B$62,VLOOKUP(Q6,Parametri!$A$47:$C$60,3,TRUE())+(Q6-VLOOKUP(Q6,Parametri!$A$47:$C$60,1,TRUE()))*VLOOKUP(Q6,Parametri!$A$47:$C$60,2,TRUE())),IF(Q6&gt;=Parametri!$B$41,Q6*Parametri!$B$42,VLOOKUP(Q6,Parametri!$A$31:$C$40,3,TRUE())+(Q6-VLOOKUP(Q6,Parametri!$A$31:$C$40,1,TRUE()))*VLOOKUP(Q6,Parametri!$A$31:$C$40,2,TRUE()))))</f>
        <v>0</v>
      </c>
      <c r="W6" s="15" t="n">
        <f aca="false">U6+V6</f>
        <v>0</v>
      </c>
      <c r="X6" s="20" t="n">
        <f aca="false">IF(F6&gt;0,H6/F6,0)</f>
        <v>0</v>
      </c>
      <c r="Y6" s="15" t="n">
        <f aca="false">H6-W6</f>
        <v>0</v>
      </c>
      <c r="Z6" s="21" t="str">
        <f aca="false">IF(B6="","",IF(B6="Residente TI",IF(F6&gt;Parametri!$B$7,"SÌ (obbligatoria)","no"),"—"))</f>
        <v/>
      </c>
      <c r="AA6" s="21" t="str">
        <f aca="false">IF(B6="","",IF(B6="Frontaliere nuovo accordo","TOU NON RICHIEDIBILE",IF(Y6&gt;Parametri!$B$6,"TOU CONVIENE",IF(Y6&lt;-Parametri!$B$6,"TOU NON CONVIENE","CIRCA NEUTRA"))))</f>
        <v/>
      </c>
      <c r="AB6" s="21"/>
    </row>
    <row r="7" customFormat="false" ht="15" hidden="false" customHeight="false" outlineLevel="0" collapsed="false">
      <c r="A7" s="19"/>
      <c r="B7" s="19"/>
      <c r="C7" s="19"/>
      <c r="D7" s="19"/>
      <c r="E7" s="19"/>
      <c r="F7" s="12"/>
      <c r="G7" s="12"/>
      <c r="H7" s="12"/>
      <c r="I7" s="12"/>
      <c r="J7" s="12"/>
      <c r="K7" s="12"/>
      <c r="L7" s="12"/>
      <c r="M7" s="12"/>
      <c r="N7" s="15" t="n">
        <f aca="false">E7*Parametri!$B$23</f>
        <v>0</v>
      </c>
      <c r="O7" s="15" t="n">
        <f aca="false">E7*Parametri!$B$24</f>
        <v>0</v>
      </c>
      <c r="P7" s="15" t="n">
        <f aca="false">MAX(0,G7-SUM(I7:M7)-N7)</f>
        <v>0</v>
      </c>
      <c r="Q7" s="15" t="n">
        <f aca="false">MAX(0,G7-SUM(I7:M7)-O7)</f>
        <v>0</v>
      </c>
      <c r="R7" s="20" t="n">
        <f aca="false">IF(P7&lt;=0,0,IF(C7="Coniugati",IF(P7&gt;=Parametri!$B$93,Parametri!$B$94,(VLOOKUP(P7,Parametri!$A$83:$C$92,3,TRUE())+(P7-VLOOKUP(P7,Parametri!$A$83:$C$92,1,TRUE()))*VLOOKUP(P7,Parametri!$A$83:$C$92,2,TRUE()))/P7),IF(P7&gt;=Parametri!$B$77,Parametri!$B$78,(VLOOKUP(P7,Parametri!$A$67:$C$76,3,TRUE())+(P7-VLOOKUP(P7,Parametri!$A$67:$C$76,1,TRUE()))*VLOOKUP(P7,Parametri!$A$67:$C$76,2,TRUE()))/P7)))</f>
        <v>0</v>
      </c>
      <c r="S7" s="14"/>
      <c r="T7" s="15" t="n">
        <f aca="false">P7*IF(S7="",R7,S7)</f>
        <v>0</v>
      </c>
      <c r="U7" s="15" t="n">
        <f aca="false">T7*(Parametri!$B$5+IFERROR(VLOOKUP(D7,Parametri!$A$12:$B$19,2,FALSE()),VLOOKUP("Altro",Parametri!$A$12:$B$19,2,FALSE())))/100</f>
        <v>0</v>
      </c>
      <c r="V7" s="15" t="n">
        <f aca="false">IF(Q7&lt;=0,0,IF(C7="Coniugati",IF(Q7&gt;=Parametri!$B$61,Q7*Parametri!$B$62,VLOOKUP(Q7,Parametri!$A$47:$C$60,3,TRUE())+(Q7-VLOOKUP(Q7,Parametri!$A$47:$C$60,1,TRUE()))*VLOOKUP(Q7,Parametri!$A$47:$C$60,2,TRUE())),IF(Q7&gt;=Parametri!$B$41,Q7*Parametri!$B$42,VLOOKUP(Q7,Parametri!$A$31:$C$40,3,TRUE())+(Q7-VLOOKUP(Q7,Parametri!$A$31:$C$40,1,TRUE()))*VLOOKUP(Q7,Parametri!$A$31:$C$40,2,TRUE()))))</f>
        <v>0</v>
      </c>
      <c r="W7" s="15" t="n">
        <f aca="false">U7+V7</f>
        <v>0</v>
      </c>
      <c r="X7" s="20" t="n">
        <f aca="false">IF(F7&gt;0,H7/F7,0)</f>
        <v>0</v>
      </c>
      <c r="Y7" s="15" t="n">
        <f aca="false">H7-W7</f>
        <v>0</v>
      </c>
      <c r="Z7" s="21" t="str">
        <f aca="false">IF(B7="","",IF(B7="Residente TI",IF(F7&gt;Parametri!$B$7,"SÌ (obbligatoria)","no"),"—"))</f>
        <v/>
      </c>
      <c r="AA7" s="21" t="str">
        <f aca="false">IF(B7="","",IF(B7="Frontaliere nuovo accordo","TOU NON RICHIEDIBILE",IF(Y7&gt;Parametri!$B$6,"TOU CONVIENE",IF(Y7&lt;-Parametri!$B$6,"TOU NON CONVIENE","CIRCA NEUTRA"))))</f>
        <v/>
      </c>
      <c r="AB7" s="21"/>
    </row>
    <row r="8" customFormat="false" ht="15" hidden="false" customHeight="false" outlineLevel="0" collapsed="false">
      <c r="A8" s="19"/>
      <c r="B8" s="19"/>
      <c r="C8" s="19"/>
      <c r="D8" s="19"/>
      <c r="E8" s="19"/>
      <c r="F8" s="12"/>
      <c r="G8" s="12"/>
      <c r="H8" s="12"/>
      <c r="I8" s="12"/>
      <c r="J8" s="12"/>
      <c r="K8" s="12"/>
      <c r="L8" s="12"/>
      <c r="M8" s="12"/>
      <c r="N8" s="15" t="n">
        <f aca="false">E8*Parametri!$B$23</f>
        <v>0</v>
      </c>
      <c r="O8" s="15" t="n">
        <f aca="false">E8*Parametri!$B$24</f>
        <v>0</v>
      </c>
      <c r="P8" s="15" t="n">
        <f aca="false">MAX(0,G8-SUM(I8:M8)-N8)</f>
        <v>0</v>
      </c>
      <c r="Q8" s="15" t="n">
        <f aca="false">MAX(0,G8-SUM(I8:M8)-O8)</f>
        <v>0</v>
      </c>
      <c r="R8" s="20" t="n">
        <f aca="false">IF(P8&lt;=0,0,IF(C8="Coniugati",IF(P8&gt;=Parametri!$B$93,Parametri!$B$94,(VLOOKUP(P8,Parametri!$A$83:$C$92,3,TRUE())+(P8-VLOOKUP(P8,Parametri!$A$83:$C$92,1,TRUE()))*VLOOKUP(P8,Parametri!$A$83:$C$92,2,TRUE()))/P8),IF(P8&gt;=Parametri!$B$77,Parametri!$B$78,(VLOOKUP(P8,Parametri!$A$67:$C$76,3,TRUE())+(P8-VLOOKUP(P8,Parametri!$A$67:$C$76,1,TRUE()))*VLOOKUP(P8,Parametri!$A$67:$C$76,2,TRUE()))/P8)))</f>
        <v>0</v>
      </c>
      <c r="S8" s="14"/>
      <c r="T8" s="15" t="n">
        <f aca="false">P8*IF(S8="",R8,S8)</f>
        <v>0</v>
      </c>
      <c r="U8" s="15" t="n">
        <f aca="false">T8*(Parametri!$B$5+IFERROR(VLOOKUP(D8,Parametri!$A$12:$B$19,2,FALSE()),VLOOKUP("Altro",Parametri!$A$12:$B$19,2,FALSE())))/100</f>
        <v>0</v>
      </c>
      <c r="V8" s="15" t="n">
        <f aca="false">IF(Q8&lt;=0,0,IF(C8="Coniugati",IF(Q8&gt;=Parametri!$B$61,Q8*Parametri!$B$62,VLOOKUP(Q8,Parametri!$A$47:$C$60,3,TRUE())+(Q8-VLOOKUP(Q8,Parametri!$A$47:$C$60,1,TRUE()))*VLOOKUP(Q8,Parametri!$A$47:$C$60,2,TRUE())),IF(Q8&gt;=Parametri!$B$41,Q8*Parametri!$B$42,VLOOKUP(Q8,Parametri!$A$31:$C$40,3,TRUE())+(Q8-VLOOKUP(Q8,Parametri!$A$31:$C$40,1,TRUE()))*VLOOKUP(Q8,Parametri!$A$31:$C$40,2,TRUE()))))</f>
        <v>0</v>
      </c>
      <c r="W8" s="15" t="n">
        <f aca="false">U8+V8</f>
        <v>0</v>
      </c>
      <c r="X8" s="20" t="n">
        <f aca="false">IF(F8&gt;0,H8/F8,0)</f>
        <v>0</v>
      </c>
      <c r="Y8" s="15" t="n">
        <f aca="false">H8-W8</f>
        <v>0</v>
      </c>
      <c r="Z8" s="21" t="str">
        <f aca="false">IF(B8="","",IF(B8="Residente TI",IF(F8&gt;Parametri!$B$7,"SÌ (obbligatoria)","no"),"—"))</f>
        <v/>
      </c>
      <c r="AA8" s="21" t="str">
        <f aca="false">IF(B8="","",IF(B8="Frontaliere nuovo accordo","TOU NON RICHIEDIBILE",IF(Y8&gt;Parametri!$B$6,"TOU CONVIENE",IF(Y8&lt;-Parametri!$B$6,"TOU NON CONVIENE","CIRCA NEUTRA"))))</f>
        <v/>
      </c>
      <c r="AB8" s="21"/>
    </row>
    <row r="9" customFormat="false" ht="15" hidden="false" customHeight="false" outlineLevel="0" collapsed="false">
      <c r="A9" s="19"/>
      <c r="B9" s="19"/>
      <c r="C9" s="19"/>
      <c r="D9" s="19"/>
      <c r="E9" s="19"/>
      <c r="F9" s="12"/>
      <c r="G9" s="12"/>
      <c r="H9" s="12"/>
      <c r="I9" s="12"/>
      <c r="J9" s="12"/>
      <c r="K9" s="12"/>
      <c r="L9" s="12"/>
      <c r="M9" s="12"/>
      <c r="N9" s="15" t="n">
        <f aca="false">E9*Parametri!$B$23</f>
        <v>0</v>
      </c>
      <c r="O9" s="15" t="n">
        <f aca="false">E9*Parametri!$B$24</f>
        <v>0</v>
      </c>
      <c r="P9" s="15" t="n">
        <f aca="false">MAX(0,G9-SUM(I9:M9)-N9)</f>
        <v>0</v>
      </c>
      <c r="Q9" s="15" t="n">
        <f aca="false">MAX(0,G9-SUM(I9:M9)-O9)</f>
        <v>0</v>
      </c>
      <c r="R9" s="20" t="n">
        <f aca="false">IF(P9&lt;=0,0,IF(C9="Coniugati",IF(P9&gt;=Parametri!$B$93,Parametri!$B$94,(VLOOKUP(P9,Parametri!$A$83:$C$92,3,TRUE())+(P9-VLOOKUP(P9,Parametri!$A$83:$C$92,1,TRUE()))*VLOOKUP(P9,Parametri!$A$83:$C$92,2,TRUE()))/P9),IF(P9&gt;=Parametri!$B$77,Parametri!$B$78,(VLOOKUP(P9,Parametri!$A$67:$C$76,3,TRUE())+(P9-VLOOKUP(P9,Parametri!$A$67:$C$76,1,TRUE()))*VLOOKUP(P9,Parametri!$A$67:$C$76,2,TRUE()))/P9)))</f>
        <v>0</v>
      </c>
      <c r="S9" s="14"/>
      <c r="T9" s="15" t="n">
        <f aca="false">P9*IF(S9="",R9,S9)</f>
        <v>0</v>
      </c>
      <c r="U9" s="15" t="n">
        <f aca="false">T9*(Parametri!$B$5+IFERROR(VLOOKUP(D9,Parametri!$A$12:$B$19,2,FALSE()),VLOOKUP("Altro",Parametri!$A$12:$B$19,2,FALSE())))/100</f>
        <v>0</v>
      </c>
      <c r="V9" s="15" t="n">
        <f aca="false">IF(Q9&lt;=0,0,IF(C9="Coniugati",IF(Q9&gt;=Parametri!$B$61,Q9*Parametri!$B$62,VLOOKUP(Q9,Parametri!$A$47:$C$60,3,TRUE())+(Q9-VLOOKUP(Q9,Parametri!$A$47:$C$60,1,TRUE()))*VLOOKUP(Q9,Parametri!$A$47:$C$60,2,TRUE())),IF(Q9&gt;=Parametri!$B$41,Q9*Parametri!$B$42,VLOOKUP(Q9,Parametri!$A$31:$C$40,3,TRUE())+(Q9-VLOOKUP(Q9,Parametri!$A$31:$C$40,1,TRUE()))*VLOOKUP(Q9,Parametri!$A$31:$C$40,2,TRUE()))))</f>
        <v>0</v>
      </c>
      <c r="W9" s="15" t="n">
        <f aca="false">U9+V9</f>
        <v>0</v>
      </c>
      <c r="X9" s="20" t="n">
        <f aca="false">IF(F9&gt;0,H9/F9,0)</f>
        <v>0</v>
      </c>
      <c r="Y9" s="15" t="n">
        <f aca="false">H9-W9</f>
        <v>0</v>
      </c>
      <c r="Z9" s="21" t="str">
        <f aca="false">IF(B9="","",IF(B9="Residente TI",IF(F9&gt;Parametri!$B$7,"SÌ (obbligatoria)","no"),"—"))</f>
        <v/>
      </c>
      <c r="AA9" s="21" t="str">
        <f aca="false">IF(B9="","",IF(B9="Frontaliere nuovo accordo","TOU NON RICHIEDIBILE",IF(Y9&gt;Parametri!$B$6,"TOU CONVIENE",IF(Y9&lt;-Parametri!$B$6,"TOU NON CONVIENE","CIRCA NEUTRA"))))</f>
        <v/>
      </c>
      <c r="AB9" s="21"/>
    </row>
    <row r="10" customFormat="false" ht="15" hidden="false" customHeight="false" outlineLevel="0" collapsed="false">
      <c r="A10" s="19"/>
      <c r="B10" s="19"/>
      <c r="C10" s="19"/>
      <c r="D10" s="19"/>
      <c r="E10" s="19"/>
      <c r="F10" s="12"/>
      <c r="G10" s="12"/>
      <c r="H10" s="12"/>
      <c r="I10" s="12"/>
      <c r="J10" s="12"/>
      <c r="K10" s="12"/>
      <c r="L10" s="12"/>
      <c r="M10" s="12"/>
      <c r="N10" s="15" t="n">
        <f aca="false">E10*Parametri!$B$23</f>
        <v>0</v>
      </c>
      <c r="O10" s="15" t="n">
        <f aca="false">E10*Parametri!$B$24</f>
        <v>0</v>
      </c>
      <c r="P10" s="15" t="n">
        <f aca="false">MAX(0,G10-SUM(I10:M10)-N10)</f>
        <v>0</v>
      </c>
      <c r="Q10" s="15" t="n">
        <f aca="false">MAX(0,G10-SUM(I10:M10)-O10)</f>
        <v>0</v>
      </c>
      <c r="R10" s="20" t="n">
        <f aca="false">IF(P10&lt;=0,0,IF(C10="Coniugati",IF(P10&gt;=Parametri!$B$93,Parametri!$B$94,(VLOOKUP(P10,Parametri!$A$83:$C$92,3,TRUE())+(P10-VLOOKUP(P10,Parametri!$A$83:$C$92,1,TRUE()))*VLOOKUP(P10,Parametri!$A$83:$C$92,2,TRUE()))/P10),IF(P10&gt;=Parametri!$B$77,Parametri!$B$78,(VLOOKUP(P10,Parametri!$A$67:$C$76,3,TRUE())+(P10-VLOOKUP(P10,Parametri!$A$67:$C$76,1,TRUE()))*VLOOKUP(P10,Parametri!$A$67:$C$76,2,TRUE()))/P10)))</f>
        <v>0</v>
      </c>
      <c r="S10" s="14"/>
      <c r="T10" s="15" t="n">
        <f aca="false">P10*IF(S10="",R10,S10)</f>
        <v>0</v>
      </c>
      <c r="U10" s="15" t="n">
        <f aca="false">T10*(Parametri!$B$5+IFERROR(VLOOKUP(D10,Parametri!$A$12:$B$19,2,FALSE()),VLOOKUP("Altro",Parametri!$A$12:$B$19,2,FALSE())))/100</f>
        <v>0</v>
      </c>
      <c r="V10" s="15" t="n">
        <f aca="false">IF(Q10&lt;=0,0,IF(C10="Coniugati",IF(Q10&gt;=Parametri!$B$61,Q10*Parametri!$B$62,VLOOKUP(Q10,Parametri!$A$47:$C$60,3,TRUE())+(Q10-VLOOKUP(Q10,Parametri!$A$47:$C$60,1,TRUE()))*VLOOKUP(Q10,Parametri!$A$47:$C$60,2,TRUE())),IF(Q10&gt;=Parametri!$B$41,Q10*Parametri!$B$42,VLOOKUP(Q10,Parametri!$A$31:$C$40,3,TRUE())+(Q10-VLOOKUP(Q10,Parametri!$A$31:$C$40,1,TRUE()))*VLOOKUP(Q10,Parametri!$A$31:$C$40,2,TRUE()))))</f>
        <v>0</v>
      </c>
      <c r="W10" s="15" t="n">
        <f aca="false">U10+V10</f>
        <v>0</v>
      </c>
      <c r="X10" s="20" t="n">
        <f aca="false">IF(F10&gt;0,H10/F10,0)</f>
        <v>0</v>
      </c>
      <c r="Y10" s="15" t="n">
        <f aca="false">H10-W10</f>
        <v>0</v>
      </c>
      <c r="Z10" s="21" t="str">
        <f aca="false">IF(B10="","",IF(B10="Residente TI",IF(F10&gt;Parametri!$B$7,"SÌ (obbligatoria)","no"),"—"))</f>
        <v/>
      </c>
      <c r="AA10" s="21" t="str">
        <f aca="false">IF(B10="","",IF(B10="Frontaliere nuovo accordo","TOU NON RICHIEDIBILE",IF(Y10&gt;Parametri!$B$6,"TOU CONVIENE",IF(Y10&lt;-Parametri!$B$6,"TOU NON CONVIENE","CIRCA NEUTRA"))))</f>
        <v/>
      </c>
      <c r="AB10" s="21"/>
    </row>
    <row r="11" customFormat="false" ht="15" hidden="false" customHeight="false" outlineLevel="0" collapsed="false">
      <c r="A11" s="19"/>
      <c r="B11" s="19"/>
      <c r="C11" s="19"/>
      <c r="D11" s="19"/>
      <c r="E11" s="19"/>
      <c r="F11" s="12"/>
      <c r="G11" s="12"/>
      <c r="H11" s="12"/>
      <c r="I11" s="12"/>
      <c r="J11" s="12"/>
      <c r="K11" s="12"/>
      <c r="L11" s="12"/>
      <c r="M11" s="12"/>
      <c r="N11" s="15" t="n">
        <f aca="false">E11*Parametri!$B$23</f>
        <v>0</v>
      </c>
      <c r="O11" s="15" t="n">
        <f aca="false">E11*Parametri!$B$24</f>
        <v>0</v>
      </c>
      <c r="P11" s="15" t="n">
        <f aca="false">MAX(0,G11-SUM(I11:M11)-N11)</f>
        <v>0</v>
      </c>
      <c r="Q11" s="15" t="n">
        <f aca="false">MAX(0,G11-SUM(I11:M11)-O11)</f>
        <v>0</v>
      </c>
      <c r="R11" s="20" t="n">
        <f aca="false">IF(P11&lt;=0,0,IF(C11="Coniugati",IF(P11&gt;=Parametri!$B$93,Parametri!$B$94,(VLOOKUP(P11,Parametri!$A$83:$C$92,3,TRUE())+(P11-VLOOKUP(P11,Parametri!$A$83:$C$92,1,TRUE()))*VLOOKUP(P11,Parametri!$A$83:$C$92,2,TRUE()))/P11),IF(P11&gt;=Parametri!$B$77,Parametri!$B$78,(VLOOKUP(P11,Parametri!$A$67:$C$76,3,TRUE())+(P11-VLOOKUP(P11,Parametri!$A$67:$C$76,1,TRUE()))*VLOOKUP(P11,Parametri!$A$67:$C$76,2,TRUE()))/P11)))</f>
        <v>0</v>
      </c>
      <c r="S11" s="14"/>
      <c r="T11" s="15" t="n">
        <f aca="false">P11*IF(S11="",R11,S11)</f>
        <v>0</v>
      </c>
      <c r="U11" s="15" t="n">
        <f aca="false">T11*(Parametri!$B$5+IFERROR(VLOOKUP(D11,Parametri!$A$12:$B$19,2,FALSE()),VLOOKUP("Altro",Parametri!$A$12:$B$19,2,FALSE())))/100</f>
        <v>0</v>
      </c>
      <c r="V11" s="15" t="n">
        <f aca="false">IF(Q11&lt;=0,0,IF(C11="Coniugati",IF(Q11&gt;=Parametri!$B$61,Q11*Parametri!$B$62,VLOOKUP(Q11,Parametri!$A$47:$C$60,3,TRUE())+(Q11-VLOOKUP(Q11,Parametri!$A$47:$C$60,1,TRUE()))*VLOOKUP(Q11,Parametri!$A$47:$C$60,2,TRUE())),IF(Q11&gt;=Parametri!$B$41,Q11*Parametri!$B$42,VLOOKUP(Q11,Parametri!$A$31:$C$40,3,TRUE())+(Q11-VLOOKUP(Q11,Parametri!$A$31:$C$40,1,TRUE()))*VLOOKUP(Q11,Parametri!$A$31:$C$40,2,TRUE()))))</f>
        <v>0</v>
      </c>
      <c r="W11" s="15" t="n">
        <f aca="false">U11+V11</f>
        <v>0</v>
      </c>
      <c r="X11" s="20" t="n">
        <f aca="false">IF(F11&gt;0,H11/F11,0)</f>
        <v>0</v>
      </c>
      <c r="Y11" s="15" t="n">
        <f aca="false">H11-W11</f>
        <v>0</v>
      </c>
      <c r="Z11" s="21" t="str">
        <f aca="false">IF(B11="","",IF(B11="Residente TI",IF(F11&gt;Parametri!$B$7,"SÌ (obbligatoria)","no"),"—"))</f>
        <v/>
      </c>
      <c r="AA11" s="21" t="str">
        <f aca="false">IF(B11="","",IF(B11="Frontaliere nuovo accordo","TOU NON RICHIEDIBILE",IF(Y11&gt;Parametri!$B$6,"TOU CONVIENE",IF(Y11&lt;-Parametri!$B$6,"TOU NON CONVIENE","CIRCA NEUTRA"))))</f>
        <v/>
      </c>
      <c r="AB11" s="21"/>
    </row>
    <row r="12" customFormat="false" ht="15" hidden="false" customHeight="false" outlineLevel="0" collapsed="false">
      <c r="A12" s="19"/>
      <c r="B12" s="19"/>
      <c r="C12" s="19"/>
      <c r="D12" s="19"/>
      <c r="E12" s="19"/>
      <c r="F12" s="12"/>
      <c r="G12" s="12"/>
      <c r="H12" s="12"/>
      <c r="I12" s="12"/>
      <c r="J12" s="12"/>
      <c r="K12" s="12"/>
      <c r="L12" s="12"/>
      <c r="M12" s="12"/>
      <c r="N12" s="15" t="n">
        <f aca="false">E12*Parametri!$B$23</f>
        <v>0</v>
      </c>
      <c r="O12" s="15" t="n">
        <f aca="false">E12*Parametri!$B$24</f>
        <v>0</v>
      </c>
      <c r="P12" s="15" t="n">
        <f aca="false">MAX(0,G12-SUM(I12:M12)-N12)</f>
        <v>0</v>
      </c>
      <c r="Q12" s="15" t="n">
        <f aca="false">MAX(0,G12-SUM(I12:M12)-O12)</f>
        <v>0</v>
      </c>
      <c r="R12" s="20" t="n">
        <f aca="false">IF(P12&lt;=0,0,IF(C12="Coniugati",IF(P12&gt;=Parametri!$B$93,Parametri!$B$94,(VLOOKUP(P12,Parametri!$A$83:$C$92,3,TRUE())+(P12-VLOOKUP(P12,Parametri!$A$83:$C$92,1,TRUE()))*VLOOKUP(P12,Parametri!$A$83:$C$92,2,TRUE()))/P12),IF(P12&gt;=Parametri!$B$77,Parametri!$B$78,(VLOOKUP(P12,Parametri!$A$67:$C$76,3,TRUE())+(P12-VLOOKUP(P12,Parametri!$A$67:$C$76,1,TRUE()))*VLOOKUP(P12,Parametri!$A$67:$C$76,2,TRUE()))/P12)))</f>
        <v>0</v>
      </c>
      <c r="S12" s="14"/>
      <c r="T12" s="15" t="n">
        <f aca="false">P12*IF(S12="",R12,S12)</f>
        <v>0</v>
      </c>
      <c r="U12" s="15" t="n">
        <f aca="false">T12*(Parametri!$B$5+IFERROR(VLOOKUP(D12,Parametri!$A$12:$B$19,2,FALSE()),VLOOKUP("Altro",Parametri!$A$12:$B$19,2,FALSE())))/100</f>
        <v>0</v>
      </c>
      <c r="V12" s="15" t="n">
        <f aca="false">IF(Q12&lt;=0,0,IF(C12="Coniugati",IF(Q12&gt;=Parametri!$B$61,Q12*Parametri!$B$62,VLOOKUP(Q12,Parametri!$A$47:$C$60,3,TRUE())+(Q12-VLOOKUP(Q12,Parametri!$A$47:$C$60,1,TRUE()))*VLOOKUP(Q12,Parametri!$A$47:$C$60,2,TRUE())),IF(Q12&gt;=Parametri!$B$41,Q12*Parametri!$B$42,VLOOKUP(Q12,Parametri!$A$31:$C$40,3,TRUE())+(Q12-VLOOKUP(Q12,Parametri!$A$31:$C$40,1,TRUE()))*VLOOKUP(Q12,Parametri!$A$31:$C$40,2,TRUE()))))</f>
        <v>0</v>
      </c>
      <c r="W12" s="15" t="n">
        <f aca="false">U12+V12</f>
        <v>0</v>
      </c>
      <c r="X12" s="20" t="n">
        <f aca="false">IF(F12&gt;0,H12/F12,0)</f>
        <v>0</v>
      </c>
      <c r="Y12" s="15" t="n">
        <f aca="false">H12-W12</f>
        <v>0</v>
      </c>
      <c r="Z12" s="21" t="str">
        <f aca="false">IF(B12="","",IF(B12="Residente TI",IF(F12&gt;Parametri!$B$7,"SÌ (obbligatoria)","no"),"—"))</f>
        <v/>
      </c>
      <c r="AA12" s="21" t="str">
        <f aca="false">IF(B12="","",IF(B12="Frontaliere nuovo accordo","TOU NON RICHIEDIBILE",IF(Y12&gt;Parametri!$B$6,"TOU CONVIENE",IF(Y12&lt;-Parametri!$B$6,"TOU NON CONVIENE","CIRCA NEUTRA"))))</f>
        <v/>
      </c>
      <c r="AB12" s="21"/>
    </row>
  </sheetData>
  <conditionalFormatting sqref="AA3:AA12">
    <cfRule type="expression" priority="2" aboveAverage="0" equalAverage="0" bottom="0" percent="0" rank="0" text="" dxfId="0">
      <formula>$AA3="TOU CONVIENE"</formula>
    </cfRule>
    <cfRule type="expression" priority="3" aboveAverage="0" equalAverage="0" bottom="0" percent="0" rank="0" text="" dxfId="1">
      <formula>$AA3="TOU NON CONVIENE"</formula>
    </cfRule>
    <cfRule type="expression" priority="4" aboveAverage="0" equalAverage="0" bottom="0" percent="0" rank="0" text="" dxfId="2">
      <formula>$AA3="TOU NON RICHIEDIBILE"</formula>
    </cfRule>
  </conditionalFormatting>
  <dataValidations count="3">
    <dataValidation allowBlank="true" errorStyle="stop" operator="between" showDropDown="false" showErrorMessage="false" showInputMessage="false" sqref="B3:B12" type="list">
      <formula1>"Residente TI,Quasi-residente (&gt;=90%),Frontaliere nuovo accordo"</formula1>
      <formula2>0</formula2>
    </dataValidation>
    <dataValidation allowBlank="true" errorStyle="stop" operator="between" showDropDown="false" showErrorMessage="false" showInputMessage="false" sqref="C3:C12" type="list">
      <formula1>"Sola,Coniugati"</formula1>
      <formula2>0</formula2>
    </dataValidation>
    <dataValidation allowBlank="true" errorStyle="stop" operator="between" showDropDown="false" showErrorMessage="false" showInputMessage="false" sqref="D3:D12" type="list">
      <formula1>ComuniList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2026-08-29T12:22:16Z</dcterms:created>
  <dc:creator>openpyxl</dc:creator>
  <dc:description/>
  <dc:language>en-US</dc:language>
  <cp:lastModifiedBy/>
  <dcterms:modified xsi:type="dcterms:W3CDTF">2026-08-29T12:22:16Z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